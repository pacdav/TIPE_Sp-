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com\Documents\Cours\2025-2026\TIPE_Spé\Expérience\"/>
    </mc:Choice>
  </mc:AlternateContent>
  <xr:revisionPtr revIDLastSave="0" documentId="13_ncr:1_{318D3656-416B-4527-9455-FE36822E0F16}" xr6:coauthVersionLast="47" xr6:coauthVersionMax="47" xr10:uidLastSave="{00000000-0000-0000-0000-000000000000}"/>
  <bookViews>
    <workbookView xWindow="-110" yWindow="-110" windowWidth="19420" windowHeight="11500" xr2:uid="{0A9082E9-4009-4283-B142-A09E54A1077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2" i="1"/>
  <c r="B3" i="1"/>
  <c r="B4" i="1"/>
  <c r="B5" i="1"/>
  <c r="B6" i="1"/>
  <c r="B7" i="1"/>
  <c r="B2" i="1"/>
</calcChain>
</file>

<file path=xl/sharedStrings.xml><?xml version="1.0" encoding="utf-8"?>
<sst xmlns="http://schemas.openxmlformats.org/spreadsheetml/2006/main" count="7" uniqueCount="7">
  <si>
    <t>V_mot</t>
  </si>
  <si>
    <t>V_gen</t>
  </si>
  <si>
    <t>I (mA)</t>
  </si>
  <si>
    <t>Omega (tr/min)</t>
  </si>
  <si>
    <t>Oméga (rad/s)</t>
  </si>
  <si>
    <t>Couple (N/m)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</si>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</sst>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Vmot</a:t>
            </a:r>
            <a:r>
              <a:rPr lang="fr-FR" baseline="0"/>
              <a:t> et Vgen en fonction de Oméga</a:t>
            </a:r>
            <a:endParaRPr lang="fr-FR"/>
          </a:p>
        </c:rich>
      </c:tx>
      <c:layout>
        <c:manualLayout>
          <c:xMode val="edge"/>
          <c:yMode val="edge"/>
          <c:x val="0.26198108806667392"/>
          <c:y val="3.728070985860080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7462400313852722E-2"/>
          <c:y val="0.15430452977183562"/>
          <c:w val="0.654522009962624"/>
          <c:h val="0.7729346225209088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Feuil1!$C$1</c:f>
              <c:strCache>
                <c:ptCount val="1"/>
                <c:pt idx="0">
                  <c:v>V_mot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3333683289588802"/>
                  <c:y val="7.55482648002333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Vmot= 0,0661*om + 0,6272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Feuil1!$B$2:$B$7</c:f>
              <c:numCache>
                <c:formatCode>General</c:formatCode>
                <c:ptCount val="6"/>
                <c:pt idx="0">
                  <c:v>99.480833333333337</c:v>
                </c:pt>
                <c:pt idx="1">
                  <c:v>144.50900000000001</c:v>
                </c:pt>
                <c:pt idx="2">
                  <c:v>193.72583333333336</c:v>
                </c:pt>
                <c:pt idx="3">
                  <c:v>272.26333333333332</c:v>
                </c:pt>
                <c:pt idx="4">
                  <c:v>318.86225000000002</c:v>
                </c:pt>
                <c:pt idx="5">
                  <c:v>360.22533333333331</c:v>
                </c:pt>
              </c:numCache>
            </c:numRef>
          </c:xVal>
          <c:yVal>
            <c:numRef>
              <c:f>Feuil1!$C$2:$C$7</c:f>
              <c:numCache>
                <c:formatCode>General</c:formatCode>
                <c:ptCount val="6"/>
                <c:pt idx="0">
                  <c:v>7.29</c:v>
                </c:pt>
                <c:pt idx="1">
                  <c:v>10.25</c:v>
                </c:pt>
                <c:pt idx="2">
                  <c:v>13.25</c:v>
                </c:pt>
                <c:pt idx="3">
                  <c:v>18.57</c:v>
                </c:pt>
                <c:pt idx="4">
                  <c:v>21.7</c:v>
                </c:pt>
                <c:pt idx="5">
                  <c:v>24.55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5F-41BB-B95A-BB55A7DAEC35}"/>
            </c:ext>
          </c:extLst>
        </c:ser>
        <c:ser>
          <c:idx val="1"/>
          <c:order val="1"/>
          <c:tx>
            <c:v>Vgen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2260498687664044E-2"/>
                  <c:y val="0.2362384907836177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Vgen= 0,059*om + 0,0488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Feuil1!$B$2:$B$7</c:f>
              <c:numCache>
                <c:formatCode>General</c:formatCode>
                <c:ptCount val="6"/>
                <c:pt idx="0">
                  <c:v>99.480833333333337</c:v>
                </c:pt>
                <c:pt idx="1">
                  <c:v>144.50900000000001</c:v>
                </c:pt>
                <c:pt idx="2">
                  <c:v>193.72583333333336</c:v>
                </c:pt>
                <c:pt idx="3">
                  <c:v>272.26333333333332</c:v>
                </c:pt>
                <c:pt idx="4">
                  <c:v>318.86225000000002</c:v>
                </c:pt>
                <c:pt idx="5">
                  <c:v>360.22533333333331</c:v>
                </c:pt>
              </c:numCache>
            </c:numRef>
          </c:xVal>
          <c:yVal>
            <c:numRef>
              <c:f>Feuil1!$D$2:$D$7</c:f>
              <c:numCache>
                <c:formatCode>General</c:formatCode>
                <c:ptCount val="6"/>
                <c:pt idx="0">
                  <c:v>5.9</c:v>
                </c:pt>
                <c:pt idx="1">
                  <c:v>8.6</c:v>
                </c:pt>
                <c:pt idx="2">
                  <c:v>11.5</c:v>
                </c:pt>
                <c:pt idx="3">
                  <c:v>16.100000000000001</c:v>
                </c:pt>
                <c:pt idx="4">
                  <c:v>18.899999999999999</c:v>
                </c:pt>
                <c:pt idx="5">
                  <c:v>21.3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45F-41BB-B95A-BB55A7DAE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710096"/>
        <c:axId val="1540708656"/>
      </c:scatterChart>
      <c:valAx>
        <c:axId val="1540710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0708656"/>
        <c:crosses val="autoZero"/>
        <c:crossBetween val="midCat"/>
      </c:valAx>
      <c:valAx>
        <c:axId val="154070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0710096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78881255100005709"/>
          <c:y val="0.37815338178636415"/>
          <c:w val="0.17941634237239429"/>
          <c:h val="0.252163561451145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10556</xdr:colOff>
      <xdr:row>7</xdr:row>
      <xdr:rowOff>94817</xdr:rowOff>
    </xdr:from>
    <xdr:to>
      <xdr:col>8</xdr:col>
      <xdr:colOff>700463</xdr:colOff>
      <xdr:row>26</xdr:row>
      <xdr:rowOff>70569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1D5021DD-CEA7-332D-59F8-BC07D4370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3D01-6C8E-4716-B7A0-85D79D0825DB}">
  <dimension ref="A1:K12"/>
  <sheetViews>
    <sheetView tabSelected="1" zoomScale="74" workbookViewId="0">
      <selection activeCell="K12" sqref="K12"/>
    </sheetView>
  </sheetViews>
  <sheetFormatPr baseColWidth="10" defaultRowHeight="14.5" x14ac:dyDescent="0.35"/>
  <cols>
    <col min="5" max="5" width="10.90625" customWidth="1"/>
  </cols>
  <sheetData>
    <row r="1" spans="1:11" x14ac:dyDescent="0.35">
      <c r="A1" t="s">
        <v>3</v>
      </c>
      <c r="B1" t="s">
        <v>4</v>
      </c>
      <c r="C1" t="s">
        <v>0</v>
      </c>
      <c r="D1" t="s">
        <v>1</v>
      </c>
      <c r="E1" t="s">
        <v>2</v>
      </c>
      <c r="G1" t="s">
        <v>5</v>
      </c>
    </row>
    <row r="2" spans="1:11" x14ac:dyDescent="0.35">
      <c r="A2">
        <v>950</v>
      </c>
      <c r="B2">
        <f>A2*2*3.1415*(1/60)</f>
        <v>99.480833333333337</v>
      </c>
      <c r="C2">
        <v>7.29</v>
      </c>
      <c r="D2">
        <v>5.9</v>
      </c>
      <c r="E2">
        <v>17.2</v>
      </c>
      <c r="G2">
        <f>E2*0.001*0.06</f>
        <v>1.0319999999999999E-3</v>
      </c>
    </row>
    <row r="3" spans="1:11" x14ac:dyDescent="0.35">
      <c r="A3">
        <v>1380</v>
      </c>
      <c r="B3">
        <f>A3*2*3.1415*(1/60)</f>
        <v>144.50900000000001</v>
      </c>
      <c r="C3">
        <v>10.25</v>
      </c>
      <c r="D3">
        <v>8.6</v>
      </c>
      <c r="E3">
        <v>26</v>
      </c>
      <c r="G3">
        <f t="shared" ref="G3:G7" si="0">E3*0.001*0.06</f>
        <v>1.56E-3</v>
      </c>
    </row>
    <row r="4" spans="1:11" x14ac:dyDescent="0.35">
      <c r="A4">
        <v>1850</v>
      </c>
      <c r="B4">
        <f>A4*2*3.1415*(1/60)</f>
        <v>193.72583333333336</v>
      </c>
      <c r="C4">
        <v>13.25</v>
      </c>
      <c r="D4">
        <v>11.5</v>
      </c>
      <c r="E4">
        <v>35.700000000000003</v>
      </c>
      <c r="G4">
        <f t="shared" si="0"/>
        <v>2.1420000000000002E-3</v>
      </c>
    </row>
    <row r="5" spans="1:11" x14ac:dyDescent="0.35">
      <c r="A5">
        <v>2600</v>
      </c>
      <c r="B5">
        <f>A5*2*3.1415*(1/60)</f>
        <v>272.26333333333332</v>
      </c>
      <c r="C5">
        <v>18.57</v>
      </c>
      <c r="D5">
        <v>16.100000000000001</v>
      </c>
      <c r="E5">
        <v>51</v>
      </c>
      <c r="G5">
        <f t="shared" si="0"/>
        <v>3.0600000000000002E-3</v>
      </c>
    </row>
    <row r="6" spans="1:11" x14ac:dyDescent="0.35">
      <c r="A6">
        <v>3045</v>
      </c>
      <c r="B6">
        <f>A6*2*3.1415*(1/60)</f>
        <v>318.86225000000002</v>
      </c>
      <c r="C6">
        <v>21.7</v>
      </c>
      <c r="D6">
        <v>18.899999999999999</v>
      </c>
      <c r="E6">
        <v>60.3</v>
      </c>
      <c r="G6">
        <f t="shared" si="0"/>
        <v>3.6179999999999997E-3</v>
      </c>
    </row>
    <row r="7" spans="1:11" x14ac:dyDescent="0.35">
      <c r="A7">
        <v>3440</v>
      </c>
      <c r="B7">
        <f>A7*2*3.1415*(1/60)</f>
        <v>360.22533333333331</v>
      </c>
      <c r="C7">
        <v>24.55</v>
      </c>
      <c r="D7">
        <v>21.3</v>
      </c>
      <c r="E7">
        <v>68.8</v>
      </c>
      <c r="G7">
        <f t="shared" si="0"/>
        <v>4.1279999999999997E-3</v>
      </c>
    </row>
    <row r="12" spans="1:11" x14ac:dyDescent="0.35">
      <c r="K12" t="s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Pacome Daval</dc:creator>
  <cp:lastModifiedBy>Pacome Daval</cp:lastModifiedBy>
  <dcterms:created xsi:type="dcterms:W3CDTF">2025-12-01T17:00:11Z</dcterms:created>
  <dcterms:modified xsi:type="dcterms:W3CDTF">2025-12-01T18:31:41Z</dcterms:modified>
</cp:coreProperties>
</file>