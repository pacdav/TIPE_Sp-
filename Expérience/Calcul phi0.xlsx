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com\Documents\Cours\2025-2026\TIPE_Spé\Expérience\"/>
    </mc:Choice>
  </mc:AlternateContent>
  <xr:revisionPtr revIDLastSave="0" documentId="13_ncr:1_{FB0843D8-81AB-49CE-90BF-28053A11DAFB}" xr6:coauthVersionLast="47" xr6:coauthVersionMax="47" xr10:uidLastSave="{00000000-0000-0000-0000-000000000000}"/>
  <bookViews>
    <workbookView xWindow="-110" yWindow="-110" windowWidth="19420" windowHeight="11500" xr2:uid="{0A9082E9-4009-4283-B142-A09E54A1077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1" l="1"/>
  <c r="Q12" i="1"/>
  <c r="Q10" i="1"/>
  <c r="Q9" i="1"/>
  <c r="Q6" i="1"/>
  <c r="Q5" i="1"/>
  <c r="Q4" i="1"/>
  <c r="Q3" i="1"/>
  <c r="Q2" i="1"/>
  <c r="M8" i="1"/>
  <c r="G3" i="1"/>
  <c r="G4" i="1"/>
  <c r="G5" i="1"/>
  <c r="G6" i="1"/>
  <c r="G7" i="1"/>
  <c r="G2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<sst xmlns="http://schemas.openxmlformats.org/spreadsheetml/2006/main" count="34" uniqueCount="26">
  <si>
    <t>V_mot</t>
  </si>
  <si>
    <t>V_gen</t>
  </si>
  <si>
    <t>I (mA)</t>
  </si>
  <si>
    <t>Omega (tr/min)</t>
  </si>
  <si>
    <t>Oméga (rad/s)</t>
  </si>
  <si>
    <t>r</t>
  </si>
  <si>
    <t>Couple (Nm)</t>
  </si>
  <si>
    <t>Vmax</t>
  </si>
  <si>
    <t>C</t>
  </si>
  <si>
    <t>d</t>
  </si>
  <si>
    <t>V4</t>
  </si>
  <si>
    <t>10V</t>
  </si>
  <si>
    <t>5V</t>
  </si>
  <si>
    <t>V5</t>
  </si>
  <si>
    <t>V6</t>
  </si>
  <si>
    <t>V7</t>
  </si>
  <si>
    <t>15V</t>
  </si>
  <si>
    <t>V8</t>
  </si>
  <si>
    <t>0.056 Ohm</t>
  </si>
  <si>
    <t>1,05 ohm</t>
  </si>
  <si>
    <t>V9</t>
  </si>
  <si>
    <t>17V</t>
  </si>
  <si>
    <t>V10</t>
  </si>
  <si>
    <t>Trop proche</t>
  </si>
  <si>
    <t>V11</t>
  </si>
  <si>
    <t>V12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</si>
</sst>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Vmot</a:t>
            </a:r>
            <a:r>
              <a:rPr lang="fr-FR" baseline="0"/>
              <a:t> et Vgen en fonction de Oméga</a:t>
            </a:r>
            <a:endParaRPr lang="fr-FR"/>
          </a:p>
        </c:rich>
      </c:tx>
      <c:layout>
        <c:manualLayout>
          <c:xMode val="edge"/>
          <c:yMode val="edge"/>
          <c:x val="0.26198108806667392"/>
          <c:y val="3.72807098586008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462400313852722E-2"/>
          <c:y val="0.15430452977183562"/>
          <c:w val="0.654522009962624"/>
          <c:h val="0.7729346225209088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V_mot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333683289588802"/>
                  <c:y val="7.5548264800233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Vmot= 0,0661*om + 0,6272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Feuil1!$B$2:$B$7</c:f>
              <c:numCache>
                <c:formatCode>General</c:formatCode>
                <c:ptCount val="6"/>
                <c:pt idx="0">
                  <c:v>99.480833333333337</c:v>
                </c:pt>
                <c:pt idx="1">
                  <c:v>144.50900000000001</c:v>
                </c:pt>
                <c:pt idx="2">
                  <c:v>193.72583333333336</c:v>
                </c:pt>
                <c:pt idx="3">
                  <c:v>272.26333333333332</c:v>
                </c:pt>
                <c:pt idx="4">
                  <c:v>318.86225000000002</c:v>
                </c:pt>
                <c:pt idx="5">
                  <c:v>360.22533333333331</c:v>
                </c:pt>
              </c:numCache>
            </c:numRef>
          </c:xVal>
          <c:yVal>
            <c:numRef>
              <c:f>Feuil1!$C$2:$C$7</c:f>
              <c:numCache>
                <c:formatCode>General</c:formatCode>
                <c:ptCount val="6"/>
                <c:pt idx="0">
                  <c:v>7.29</c:v>
                </c:pt>
                <c:pt idx="1">
                  <c:v>10.25</c:v>
                </c:pt>
                <c:pt idx="2">
                  <c:v>13.25</c:v>
                </c:pt>
                <c:pt idx="3">
                  <c:v>18.57</c:v>
                </c:pt>
                <c:pt idx="4">
                  <c:v>21.7</c:v>
                </c:pt>
                <c:pt idx="5">
                  <c:v>24.55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5F-41BB-B95A-BB55A7DAEC35}"/>
            </c:ext>
          </c:extLst>
        </c:ser>
        <c:ser>
          <c:idx val="1"/>
          <c:order val="1"/>
          <c:tx>
            <c:v>Vgen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2260498687664044E-2"/>
                  <c:y val="0.2362384907836177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Vgen= 0,059*om + 0,0488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Feuil1!$B$2:$B$7</c:f>
              <c:numCache>
                <c:formatCode>General</c:formatCode>
                <c:ptCount val="6"/>
                <c:pt idx="0">
                  <c:v>99.480833333333337</c:v>
                </c:pt>
                <c:pt idx="1">
                  <c:v>144.50900000000001</c:v>
                </c:pt>
                <c:pt idx="2">
                  <c:v>193.72583333333336</c:v>
                </c:pt>
                <c:pt idx="3">
                  <c:v>272.26333333333332</c:v>
                </c:pt>
                <c:pt idx="4">
                  <c:v>318.86225000000002</c:v>
                </c:pt>
                <c:pt idx="5">
                  <c:v>360.22533333333331</c:v>
                </c:pt>
              </c:numCache>
            </c:numRef>
          </c:xVal>
          <c:yVal>
            <c:numRef>
              <c:f>Feuil1!$D$2:$D$7</c:f>
              <c:numCache>
                <c:formatCode>General</c:formatCode>
                <c:ptCount val="6"/>
                <c:pt idx="0">
                  <c:v>5.9</c:v>
                </c:pt>
                <c:pt idx="1">
                  <c:v>8.6</c:v>
                </c:pt>
                <c:pt idx="2">
                  <c:v>11.5</c:v>
                </c:pt>
                <c:pt idx="3">
                  <c:v>16.100000000000001</c:v>
                </c:pt>
                <c:pt idx="4">
                  <c:v>18.899999999999999</c:v>
                </c:pt>
                <c:pt idx="5">
                  <c:v>21.3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5F-41BB-B95A-BB55A7DAE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710096"/>
        <c:axId val="1540708656"/>
      </c:scatterChart>
      <c:valAx>
        <c:axId val="154071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0708656"/>
        <c:crosses val="autoZero"/>
        <c:crossBetween val="midCat"/>
      </c:valAx>
      <c:valAx>
        <c:axId val="154070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071009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881255100005709"/>
          <c:y val="0.37815338178636415"/>
          <c:w val="0.17941634237239429"/>
          <c:h val="0.25216356145114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353800</xdr:colOff>
      <xdr:row>9</xdr:row>
      <xdr:rowOff>172047</xdr:rowOff>
    </xdr:from>
    <xdr:to>
      <xdr:col>10</xdr:col>
      <xdr:colOff>279991</xdr:colOff>
      <xdr:row>28</xdr:row>
      <xdr:rowOff>147798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D5021DD-CEA7-332D-59F8-BC07D4370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3D01-6C8E-4716-B7A0-85D79D0825DB}">
  <dimension ref="A1:S13"/>
  <sheetViews>
    <sheetView tabSelected="1" zoomScale="74" workbookViewId="0">
      <selection activeCell="P20" sqref="P20"/>
    </sheetView>
  </sheetViews>
  <sheetFormatPr baseColWidth="10" defaultRowHeight="14.5" x14ac:dyDescent="0.35"/>
  <cols>
    <col min="5" max="5" width="10.90625" customWidth="1"/>
  </cols>
  <sheetData>
    <row r="1" spans="1:19" x14ac:dyDescent="0.35">
      <c r="A1" t="s">
        <v>3</v>
      </c>
      <c r="B1" t="s">
        <v>4</v>
      </c>
      <c r="C1" t="s">
        <v>0</v>
      </c>
      <c r="D1" t="s">
        <v>1</v>
      </c>
      <c r="E1" t="s">
        <v>2</v>
      </c>
      <c r="G1" t="s">
        <v>6</v>
      </c>
      <c r="O1" t="s">
        <v>9</v>
      </c>
      <c r="P1" t="s">
        <v>7</v>
      </c>
      <c r="Q1" t="s">
        <v>8</v>
      </c>
    </row>
    <row r="2" spans="1:19" x14ac:dyDescent="0.35">
      <c r="A2">
        <v>950</v>
      </c>
      <c r="B2">
        <f t="shared" ref="B2:B7" si="0">A2*2*3.1415*(1/60)</f>
        <v>99.480833333333337</v>
      </c>
      <c r="C2">
        <v>7.29</v>
      </c>
      <c r="D2">
        <v>5.9</v>
      </c>
      <c r="E2">
        <v>17.2</v>
      </c>
      <c r="G2">
        <f>E2*0.001*0.06</f>
        <v>1.0319999999999999E-3</v>
      </c>
      <c r="N2" t="s">
        <v>12</v>
      </c>
      <c r="O2">
        <v>15.6</v>
      </c>
      <c r="P2">
        <v>210</v>
      </c>
      <c r="Q2">
        <f>0.0661*P2*0.01</f>
        <v>0.13881000000000002</v>
      </c>
    </row>
    <row r="3" spans="1:19" x14ac:dyDescent="0.35">
      <c r="A3">
        <v>1380</v>
      </c>
      <c r="B3">
        <f t="shared" si="0"/>
        <v>144.50900000000001</v>
      </c>
      <c r="C3">
        <v>10.25</v>
      </c>
      <c r="D3">
        <v>8.6</v>
      </c>
      <c r="E3">
        <v>26</v>
      </c>
      <c r="G3">
        <f t="shared" ref="G3:G7" si="1">E3*0.001*0.06</f>
        <v>1.56E-3</v>
      </c>
      <c r="N3" t="s">
        <v>11</v>
      </c>
      <c r="O3">
        <v>12.8</v>
      </c>
      <c r="P3">
        <v>200</v>
      </c>
      <c r="Q3">
        <f>0.0661*P3*0.01</f>
        <v>0.13220000000000001</v>
      </c>
      <c r="R3" t="s">
        <v>10</v>
      </c>
    </row>
    <row r="4" spans="1:19" x14ac:dyDescent="0.35">
      <c r="A4">
        <v>1850</v>
      </c>
      <c r="B4">
        <f t="shared" si="0"/>
        <v>193.72583333333336</v>
      </c>
      <c r="C4">
        <v>13.25</v>
      </c>
      <c r="D4">
        <v>11.5</v>
      </c>
      <c r="E4">
        <v>35.700000000000003</v>
      </c>
      <c r="G4">
        <f t="shared" si="1"/>
        <v>2.1420000000000002E-3</v>
      </c>
      <c r="N4" t="s">
        <v>11</v>
      </c>
      <c r="O4">
        <v>14</v>
      </c>
      <c r="P4">
        <v>180</v>
      </c>
      <c r="Q4">
        <f>0.0661*P4*0.01</f>
        <v>0.11898000000000002</v>
      </c>
      <c r="R4" t="s">
        <v>13</v>
      </c>
    </row>
    <row r="5" spans="1:19" x14ac:dyDescent="0.35">
      <c r="A5">
        <v>2600</v>
      </c>
      <c r="B5">
        <f t="shared" si="0"/>
        <v>272.26333333333332</v>
      </c>
      <c r="C5">
        <v>18.57</v>
      </c>
      <c r="D5">
        <v>16.100000000000001</v>
      </c>
      <c r="E5">
        <v>51</v>
      </c>
      <c r="G5">
        <f t="shared" si="1"/>
        <v>3.0600000000000002E-3</v>
      </c>
      <c r="N5" t="s">
        <v>11</v>
      </c>
      <c r="O5">
        <v>11.4</v>
      </c>
      <c r="P5">
        <v>450</v>
      </c>
      <c r="Q5">
        <f>0.0661*P5*0.01</f>
        <v>0.29744999999999999</v>
      </c>
      <c r="R5" t="s">
        <v>14</v>
      </c>
    </row>
    <row r="6" spans="1:19" x14ac:dyDescent="0.35">
      <c r="A6">
        <v>3045</v>
      </c>
      <c r="B6">
        <f t="shared" si="0"/>
        <v>318.86225000000002</v>
      </c>
      <c r="C6">
        <v>21.7</v>
      </c>
      <c r="D6">
        <v>18.899999999999999</v>
      </c>
      <c r="E6">
        <v>60.3</v>
      </c>
      <c r="G6">
        <f t="shared" si="1"/>
        <v>3.6179999999999997E-3</v>
      </c>
      <c r="N6" t="s">
        <v>11</v>
      </c>
      <c r="O6">
        <v>10.6</v>
      </c>
      <c r="P6">
        <v>740</v>
      </c>
      <c r="Q6">
        <f>0.0661*P6*0.01</f>
        <v>0.48914000000000002</v>
      </c>
      <c r="R6" t="s">
        <v>15</v>
      </c>
    </row>
    <row r="7" spans="1:19" x14ac:dyDescent="0.35">
      <c r="A7">
        <v>3440</v>
      </c>
      <c r="B7">
        <f t="shared" si="0"/>
        <v>360.22533333333331</v>
      </c>
      <c r="C7">
        <v>24.55</v>
      </c>
      <c r="D7">
        <v>21.3</v>
      </c>
      <c r="E7">
        <v>68.8</v>
      </c>
      <c r="G7">
        <f t="shared" si="1"/>
        <v>4.1279999999999997E-3</v>
      </c>
      <c r="N7" t="s">
        <v>11</v>
      </c>
      <c r="O7">
        <v>9.1</v>
      </c>
    </row>
    <row r="8" spans="1:19" x14ac:dyDescent="0.35">
      <c r="M8">
        <f>0.4*0.06</f>
        <v>2.4E-2</v>
      </c>
      <c r="N8" t="s">
        <v>16</v>
      </c>
      <c r="O8">
        <v>9.1</v>
      </c>
      <c r="P8">
        <v>140</v>
      </c>
      <c r="R8" t="s">
        <v>17</v>
      </c>
      <c r="S8" t="s">
        <v>18</v>
      </c>
    </row>
    <row r="9" spans="1:19" x14ac:dyDescent="0.35">
      <c r="N9" t="s">
        <v>21</v>
      </c>
      <c r="O9">
        <v>9.1999999999999993</v>
      </c>
      <c r="P9">
        <v>620</v>
      </c>
      <c r="Q9">
        <f>0.0661*P9*0.01</f>
        <v>0.40982000000000007</v>
      </c>
      <c r="R9" t="s">
        <v>20</v>
      </c>
      <c r="S9" t="s">
        <v>19</v>
      </c>
    </row>
    <row r="10" spans="1:19" x14ac:dyDescent="0.35">
      <c r="N10" t="s">
        <v>16</v>
      </c>
      <c r="O10">
        <v>10</v>
      </c>
      <c r="P10">
        <v>350</v>
      </c>
      <c r="Q10">
        <f>0.0661*P10*0.01</f>
        <v>0.23135000000000003</v>
      </c>
      <c r="R10" t="s">
        <v>22</v>
      </c>
    </row>
    <row r="11" spans="1:19" x14ac:dyDescent="0.35">
      <c r="N11" t="s">
        <v>16</v>
      </c>
      <c r="O11">
        <v>7</v>
      </c>
      <c r="P11" t="s">
        <v>23</v>
      </c>
    </row>
    <row r="12" spans="1:19" x14ac:dyDescent="0.35">
      <c r="K12" t="s">
        <v>5</v>
      </c>
      <c r="N12" t="s">
        <v>16</v>
      </c>
      <c r="O12">
        <v>9.6</v>
      </c>
      <c r="P12">
        <v>725</v>
      </c>
      <c r="Q12">
        <f>0.0661*P12*0.01</f>
        <v>0.47922500000000007</v>
      </c>
      <c r="R12" t="s">
        <v>24</v>
      </c>
    </row>
    <row r="13" spans="1:19" x14ac:dyDescent="0.35">
      <c r="N13" t="s">
        <v>11</v>
      </c>
      <c r="O13">
        <v>12.6</v>
      </c>
      <c r="P13">
        <v>300</v>
      </c>
      <c r="Q13">
        <f>0.0661*P13*0.01</f>
        <v>0.19830000000000003</v>
      </c>
      <c r="R13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Pacome Daval</dc:creator>
  <cp:lastModifiedBy>Pacome Daval</cp:lastModifiedBy>
  <dcterms:created xsi:type="dcterms:W3CDTF">2025-12-01T17:00:11Z</dcterms:created>
  <dcterms:modified xsi:type="dcterms:W3CDTF">2025-12-08T18:51:09Z</dcterms:modified>
</cp:coreProperties>
</file>