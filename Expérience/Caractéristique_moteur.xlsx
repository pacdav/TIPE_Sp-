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com\Documents\Cours\2025-2026\TIPE_Spé\Expérience\"/>
    </mc:Choice>
  </mc:AlternateContent>
  <xr:revisionPtr revIDLastSave="0" documentId="13_ncr:1_{4D967BC3-9D9F-4D49-9330-7A241DF1BE70}" xr6:coauthVersionLast="47" xr6:coauthVersionMax="47" xr10:uidLastSave="{00000000-0000-0000-0000-000000000000}"/>
  <bookViews>
    <workbookView xWindow="9510" yWindow="0" windowWidth="9780" windowHeight="11370" xr2:uid="{64973A6A-9E38-47AD-86F6-245A1717B9B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" l="1"/>
  <c r="N9" i="1"/>
  <c r="L9" i="1"/>
  <c r="K9" i="1"/>
  <c r="J9" i="1"/>
  <c r="N6" i="1"/>
  <c r="L6" i="1"/>
  <c r="K6" i="1"/>
  <c r="J6" i="1"/>
  <c r="R3" i="1"/>
  <c r="R4" i="1"/>
  <c r="R5" i="1"/>
  <c r="S3" i="1"/>
  <c r="S4" i="1"/>
  <c r="S5" i="1"/>
  <c r="S2" i="1"/>
  <c r="N2" i="1"/>
  <c r="L2" i="1"/>
  <c r="K2" i="1"/>
  <c r="J2" i="1"/>
  <c r="N5" i="1"/>
  <c r="L5" i="1"/>
  <c r="K5" i="1"/>
  <c r="J5" i="1"/>
  <c r="J3" i="1"/>
  <c r="N3" i="1"/>
  <c r="L3" i="1"/>
  <c r="K3" i="1"/>
  <c r="N4" i="1"/>
  <c r="L4" i="1"/>
  <c r="K4" i="1"/>
  <c r="J4" i="1"/>
  <c r="M4" i="1" s="1"/>
  <c r="O4" i="1" s="1"/>
  <c r="P4" i="1" s="1"/>
  <c r="Q4" i="1" s="1"/>
  <c r="M9" i="1" l="1"/>
  <c r="O9" i="1" s="1"/>
  <c r="R9" i="1" s="1"/>
  <c r="M6" i="1"/>
  <c r="O6" i="1" s="1"/>
  <c r="S6" i="1" s="1"/>
  <c r="M5" i="1"/>
  <c r="O5" i="1" s="1"/>
  <c r="P5" i="1" s="1"/>
  <c r="Q5" i="1" s="1"/>
  <c r="M2" i="1"/>
  <c r="O2" i="1" s="1"/>
  <c r="P2" i="1" s="1"/>
  <c r="Q2" i="1" s="1"/>
  <c r="M3" i="1"/>
  <c r="O3" i="1" s="1"/>
  <c r="P3" i="1" s="1"/>
  <c r="Q3" i="1" s="1"/>
  <c r="S9" i="1" l="1"/>
  <c r="P9" i="1"/>
  <c r="Q9" i="1" s="1"/>
  <c r="R6" i="1"/>
  <c r="P6" i="1"/>
  <c r="Q6" i="1" s="1"/>
</calcChain>
</file>

<file path=xl/sharedStrings.xml><?xml version="1.0" encoding="utf-8"?>
<sst xmlns="http://schemas.openxmlformats.org/spreadsheetml/2006/main" count="20" uniqueCount="20">
  <si>
    <t>Rgen (Ohm)</t>
  </si>
  <si>
    <t>Rmot (Ohm)</t>
  </si>
  <si>
    <t>Uentrée (V)</t>
  </si>
  <si>
    <t>Ientrée (A)</t>
  </si>
  <si>
    <t>Usortie(V)</t>
  </si>
  <si>
    <t>Isortie (A)</t>
  </si>
  <si>
    <t>Pe(W)</t>
  </si>
  <si>
    <t>Ps(W)</t>
  </si>
  <si>
    <t>Vitesse de rot (tr/min)</t>
  </si>
  <si>
    <t>P_cuiv_mot</t>
  </si>
  <si>
    <t>P_cuiv_gen</t>
  </si>
  <si>
    <t>P_fer+meca</t>
  </si>
  <si>
    <t>Rendement_transm</t>
  </si>
  <si>
    <t>P_fer+meca(1mot)</t>
  </si>
  <si>
    <t>P_meca_utile_1mot</t>
  </si>
  <si>
    <t>Rendment_1mot</t>
  </si>
  <si>
    <t>couple utile sortie</t>
  </si>
  <si>
    <t>couple utile entrée</t>
  </si>
  <si>
    <t>Rhéostat (Ohm)</t>
  </si>
  <si>
    <t>Ptot_perte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</si>
</sst>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Feuil1!$N$1</c:f>
              <c:strCache>
                <c:ptCount val="1"/>
                <c:pt idx="0">
                  <c:v>Rendement_transm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9.1967057285538278E-2"/>
                  <c:y val="-4.995467523506809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Feuil1!$C$2:$C$5</c:f>
              <c:numCache>
                <c:formatCode>General</c:formatCode>
                <c:ptCount val="4"/>
                <c:pt idx="0">
                  <c:v>6.78</c:v>
                </c:pt>
                <c:pt idx="1">
                  <c:v>11.7</c:v>
                </c:pt>
                <c:pt idx="2">
                  <c:v>19.11</c:v>
                </c:pt>
                <c:pt idx="3">
                  <c:v>24.8</c:v>
                </c:pt>
              </c:numCache>
            </c:numRef>
          </c:xVal>
          <c:yVal>
            <c:numRef>
              <c:f>Feuil1!$N$2:$N$5</c:f>
              <c:numCache>
                <c:formatCode>General</c:formatCode>
                <c:ptCount val="4"/>
                <c:pt idx="0">
                  <c:v>0.10149253731343284</c:v>
                </c:pt>
                <c:pt idx="1">
                  <c:v>0.17006802721088435</c:v>
                </c:pt>
                <c:pt idx="2">
                  <c:v>0.23300970873786409</c:v>
                </c:pt>
                <c:pt idx="3">
                  <c:v>0.27252747252747256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3F-47A7-93C6-E5ABFB557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1042752"/>
        <c:axId val="1151043232"/>
      </c:scatterChart>
      <c:valAx>
        <c:axId val="115104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51043232"/>
        <c:crosses val="autoZero"/>
        <c:crossBetween val="midCat"/>
      </c:valAx>
      <c:valAx>
        <c:axId val="115104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51042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657146</xdr:colOff>
      <xdr:row>10</xdr:row>
      <xdr:rowOff>21430</xdr:rowOff>
    </xdr:from>
    <xdr:to>
      <xdr:col>7</xdr:col>
      <xdr:colOff>109664</xdr:colOff>
      <xdr:row>25</xdr:row>
      <xdr:rowOff>47388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2D1BC9B-BF87-A63B-54AD-87E8E57948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02CB4-DE32-436B-8DF3-CFFD32625940}">
  <dimension ref="A1:U9"/>
  <sheetViews>
    <sheetView tabSelected="1" topLeftCell="F1" zoomScale="115" zoomScaleNormal="115" workbookViewId="0">
      <selection activeCell="O2" sqref="O2"/>
    </sheetView>
  </sheetViews>
  <sheetFormatPr baseColWidth="10" defaultRowHeight="14.5" x14ac:dyDescent="0.35"/>
  <cols>
    <col min="7" max="7" width="18.453125" bestFit="1" customWidth="1"/>
    <col min="9" max="9" width="10.90625" customWidth="1"/>
    <col min="14" max="14" width="16.7265625" bestFit="1" customWidth="1"/>
    <col min="15" max="15" width="16" bestFit="1" customWidth="1"/>
    <col min="16" max="16" width="16.7265625" bestFit="1" customWidth="1"/>
    <col min="17" max="17" width="14.08984375" bestFit="1" customWidth="1"/>
    <col min="18" max="18" width="15.1796875" bestFit="1" customWidth="1"/>
    <col min="19" max="19" width="16.1796875" bestFit="1" customWidth="1"/>
    <col min="21" max="21" width="13.9062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6</v>
      </c>
      <c r="I1" t="s">
        <v>7</v>
      </c>
      <c r="J1" t="s">
        <v>19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U1" t="s">
        <v>18</v>
      </c>
    </row>
    <row r="2" spans="1:21" x14ac:dyDescent="0.35">
      <c r="A2">
        <v>1.3</v>
      </c>
      <c r="B2">
        <v>3.8</v>
      </c>
      <c r="C2">
        <v>6.78</v>
      </c>
      <c r="D2">
        <v>0.99</v>
      </c>
      <c r="E2">
        <v>4.75</v>
      </c>
      <c r="F2">
        <v>0.14599999999999999</v>
      </c>
      <c r="G2">
        <v>775</v>
      </c>
      <c r="H2">
        <v>6.7</v>
      </c>
      <c r="I2">
        <v>0.68</v>
      </c>
      <c r="J2">
        <f>H2-I2</f>
        <v>6.0200000000000005</v>
      </c>
      <c r="K2">
        <f>B2*D2^2</f>
        <v>3.7243799999999996</v>
      </c>
      <c r="L2">
        <f>A2*F2^2</f>
        <v>2.7710799999999997E-2</v>
      </c>
      <c r="M2">
        <f>J2-K2-L2</f>
        <v>2.267909200000001</v>
      </c>
      <c r="N2">
        <f>I2/H2</f>
        <v>0.10149253731343284</v>
      </c>
      <c r="O2">
        <f>M2/2</f>
        <v>1.1339546000000005</v>
      </c>
      <c r="P2">
        <f>H2-K2-O2</f>
        <v>1.8416654000000001</v>
      </c>
      <c r="Q2">
        <f>P2/H2</f>
        <v>0.27487543283582089</v>
      </c>
      <c r="R2">
        <f>((E2*F2)+(A2*F2*F2)+O2)/(G2*2*3.14/60)</f>
        <v>2.2870335730429431E-2</v>
      </c>
      <c r="S2">
        <f>((D2*C2)-(B2*D2*D2)-O2)/(G2*2*3.14/60)</f>
        <v>2.2854309430860899E-2</v>
      </c>
      <c r="U2">
        <v>33.6</v>
      </c>
    </row>
    <row r="3" spans="1:21" x14ac:dyDescent="0.35">
      <c r="A3">
        <v>1.3</v>
      </c>
      <c r="B3">
        <v>3.8</v>
      </c>
      <c r="C3">
        <v>11.7</v>
      </c>
      <c r="D3">
        <v>1.26</v>
      </c>
      <c r="E3">
        <v>9.0299999999999994</v>
      </c>
      <c r="F3">
        <v>0.27</v>
      </c>
      <c r="G3">
        <v>1476</v>
      </c>
      <c r="H3">
        <v>14.7</v>
      </c>
      <c r="I3">
        <v>2.5</v>
      </c>
      <c r="J3">
        <f>H3-I3</f>
        <v>12.2</v>
      </c>
      <c r="K3">
        <f>B3*D3^2</f>
        <v>6.0328800000000005</v>
      </c>
      <c r="L3">
        <f>A3*F3^2</f>
        <v>9.4770000000000007E-2</v>
      </c>
      <c r="M3">
        <f>J3-K3-L3</f>
        <v>6.0723499999999992</v>
      </c>
      <c r="N3">
        <f>I3/H3</f>
        <v>0.17006802721088435</v>
      </c>
      <c r="O3">
        <f>M3/2</f>
        <v>3.0361749999999996</v>
      </c>
      <c r="P3">
        <f>H3-K3-O3</f>
        <v>5.6309449999999988</v>
      </c>
      <c r="Q3">
        <f>P3/H3</f>
        <v>0.3830574829931972</v>
      </c>
      <c r="R3">
        <f t="shared" ref="R3:R5" si="0">((E3*F3)+(A3*F3*F3)+O3)/(G3*2*3.14/60)</f>
        <v>3.6048398581119565E-2</v>
      </c>
      <c r="S3">
        <f t="shared" ref="S3:S5" si="1">((D3*C3)-(B3*D3*D3)-O3)/(G3*2*3.14/60)</f>
        <v>3.6720942726943186E-2</v>
      </c>
      <c r="U3">
        <v>33.6</v>
      </c>
    </row>
    <row r="4" spans="1:21" x14ac:dyDescent="0.35">
      <c r="A4">
        <v>1.3</v>
      </c>
      <c r="B4">
        <v>3.8</v>
      </c>
      <c r="C4">
        <v>19.11</v>
      </c>
      <c r="D4">
        <v>1.62</v>
      </c>
      <c r="E4">
        <v>15.3</v>
      </c>
      <c r="F4">
        <v>0.47</v>
      </c>
      <c r="G4">
        <v>2520</v>
      </c>
      <c r="H4">
        <v>30.9</v>
      </c>
      <c r="I4">
        <v>7.2</v>
      </c>
      <c r="J4">
        <f>H4-I4</f>
        <v>23.7</v>
      </c>
      <c r="K4">
        <f>B4*D4^2</f>
        <v>9.9727200000000007</v>
      </c>
      <c r="L4">
        <f>A4*F4^2</f>
        <v>0.28716999999999998</v>
      </c>
      <c r="M4">
        <f>J4-K4-L4</f>
        <v>13.440109999999999</v>
      </c>
      <c r="N4">
        <f>I4/H4</f>
        <v>0.23300970873786409</v>
      </c>
      <c r="O4">
        <f>M4/2</f>
        <v>6.7200549999999994</v>
      </c>
      <c r="P4">
        <f>H4-K4-O4</f>
        <v>14.207224999999998</v>
      </c>
      <c r="Q4">
        <f>P4/H4</f>
        <v>0.45978074433656951</v>
      </c>
      <c r="R4">
        <f t="shared" si="0"/>
        <v>5.3830091750075824E-2</v>
      </c>
      <c r="S4">
        <f t="shared" si="1"/>
        <v>5.4084868820139541E-2</v>
      </c>
      <c r="U4">
        <v>33.6</v>
      </c>
    </row>
    <row r="5" spans="1:21" x14ac:dyDescent="0.35">
      <c r="A5">
        <v>1.3</v>
      </c>
      <c r="B5">
        <v>3.8</v>
      </c>
      <c r="C5">
        <v>24.8</v>
      </c>
      <c r="D5">
        <v>1.9</v>
      </c>
      <c r="E5">
        <v>20.2</v>
      </c>
      <c r="F5">
        <v>0.62</v>
      </c>
      <c r="G5">
        <v>3336</v>
      </c>
      <c r="H5">
        <v>45.5</v>
      </c>
      <c r="I5">
        <v>12.4</v>
      </c>
      <c r="J5">
        <f>H5-I5</f>
        <v>33.1</v>
      </c>
      <c r="K5">
        <f>B5*D5^2</f>
        <v>13.717999999999998</v>
      </c>
      <c r="L5">
        <f>A5*F5^2</f>
        <v>0.49972000000000005</v>
      </c>
      <c r="M5">
        <f>J5-K5-L5</f>
        <v>18.882280000000005</v>
      </c>
      <c r="N5">
        <f>I5/H5</f>
        <v>0.27252747252747256</v>
      </c>
      <c r="O5">
        <f>M5/2</f>
        <v>9.4411400000000025</v>
      </c>
      <c r="P5">
        <f>H5-K5-O5</f>
        <v>22.340859999999999</v>
      </c>
      <c r="Q5">
        <f>P5/H5</f>
        <v>0.49100791208791206</v>
      </c>
      <c r="R5">
        <f t="shared" si="0"/>
        <v>6.4338255510241485E-2</v>
      </c>
      <c r="S5">
        <f t="shared" si="1"/>
        <v>6.8622726023003247E-2</v>
      </c>
      <c r="U5">
        <v>33.6</v>
      </c>
    </row>
    <row r="6" spans="1:21" x14ac:dyDescent="0.35">
      <c r="A6">
        <v>1.3</v>
      </c>
      <c r="B6">
        <v>3.8</v>
      </c>
      <c r="C6">
        <v>11</v>
      </c>
      <c r="D6">
        <v>2</v>
      </c>
      <c r="E6">
        <v>5.77</v>
      </c>
      <c r="F6">
        <v>0.95</v>
      </c>
      <c r="G6">
        <v>1121</v>
      </c>
      <c r="H6">
        <v>21.2</v>
      </c>
      <c r="I6">
        <v>5.4</v>
      </c>
      <c r="J6">
        <f>H6-I6</f>
        <v>15.799999999999999</v>
      </c>
      <c r="K6">
        <f>B6*D6^2</f>
        <v>15.2</v>
      </c>
      <c r="L6">
        <f>A6*F6^2</f>
        <v>1.1732499999999999</v>
      </c>
      <c r="M6">
        <f>J6-K6-L6</f>
        <v>-0.57325000000000026</v>
      </c>
      <c r="N6">
        <f>I6/H6</f>
        <v>0.25471698113207547</v>
      </c>
      <c r="O6">
        <f>M6/2</f>
        <v>-0.28662500000000013</v>
      </c>
      <c r="P6">
        <f>H6-K6-O6</f>
        <v>6.2866249999999999</v>
      </c>
      <c r="Q6">
        <f>P6/H6</f>
        <v>0.29653891509433961</v>
      </c>
      <c r="R6">
        <f t="shared" ref="R6" si="2">((E6*F6)+(A6*F6*F6)+O6)/(G6*2*3.14/60)</f>
        <v>5.4274717750870755E-2</v>
      </c>
      <c r="S6">
        <f t="shared" ref="S6" si="3">((D6*C6)-(B6*D6*D6)-O6)/(G6*2*3.14/60)</f>
        <v>6.0398401677301324E-2</v>
      </c>
      <c r="U6">
        <v>6</v>
      </c>
    </row>
    <row r="9" spans="1:21" x14ac:dyDescent="0.35">
      <c r="A9">
        <v>1.3</v>
      </c>
      <c r="B9">
        <v>3.8</v>
      </c>
      <c r="C9">
        <v>4.4000000000000004</v>
      </c>
      <c r="D9">
        <v>1</v>
      </c>
      <c r="E9">
        <v>2.2000000000000002</v>
      </c>
      <c r="F9">
        <v>1.0999999999999999E-2</v>
      </c>
      <c r="G9">
        <v>370</v>
      </c>
      <c r="H9">
        <v>4.4000000000000004</v>
      </c>
      <c r="I9">
        <v>0.16</v>
      </c>
      <c r="J9">
        <f>H9-I9</f>
        <v>4.24</v>
      </c>
      <c r="K9">
        <f>B9*D9^2</f>
        <v>3.8</v>
      </c>
      <c r="L9">
        <f>A9*F9^2</f>
        <v>1.5729999999999997E-4</v>
      </c>
      <c r="M9">
        <f>J9-K9-L9</f>
        <v>0.43984270000000036</v>
      </c>
      <c r="N9">
        <f>I9/H9</f>
        <v>3.6363636363636362E-2</v>
      </c>
      <c r="O9">
        <f>M9/2</f>
        <v>0.21992135000000018</v>
      </c>
      <c r="P9">
        <f>H9-K9-O9</f>
        <v>0.38007865000000035</v>
      </c>
      <c r="Q9">
        <f>P9/H9</f>
        <v>8.6381511363636435E-2</v>
      </c>
      <c r="R9">
        <f t="shared" ref="R9" si="4">((E9*F9)+(A9*F9*F9)+O9)/(G9*2*3.14/60)</f>
        <v>6.307763384403516E-3</v>
      </c>
      <c r="S9">
        <f t="shared" ref="S9" si="5">((D9*C9)-(B9*D9*D9)-O9)/(G9*2*3.14/60)</f>
        <v>9.8143910311585553E-3</v>
      </c>
      <c r="U9">
        <v>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 DAVAL Pacôme</dc:creator>
  <cp:lastModifiedBy>SG DAVAL Pacôme</cp:lastModifiedBy>
  <dcterms:created xsi:type="dcterms:W3CDTF">2026-01-12T15:59:23Z</dcterms:created>
  <dcterms:modified xsi:type="dcterms:W3CDTF">2026-01-13T20:56:31Z</dcterms:modified>
</cp:coreProperties>
</file>